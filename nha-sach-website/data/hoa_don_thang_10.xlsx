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HoaDon" sheetId="1" r:id="rId1"/>
    <sheet name="Sach" sheetId="2" r:id="rId2"/>
  </sheets>
  <definedNames>
    <definedName name="_xlnm._FilterDatabase" localSheetId="0" hidden="1">HoaDon!$A$1:$G$16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<sst xmlns="http://schemas.openxmlformats.org/spreadsheetml/2006/main" count="69" uniqueCount="51">
  <si>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ma_hd</t>
  </si>
  <si>
    <t>ngay_ban</t>
  </si>
  <si>
    <t>ma_sach</t>
  </si>
  <si>
    <t>so_quyen</t>
  </si>
  <si>
    <t>ten_sach</t>
  </si>
  <si>
    <t>gia_ban</t>
  </si>
  <si>
    <t>thanh_tien</t>
  </si>
  <si>
    <t>HD001</t>
  </si>
  <si>
    <t>2025-10-01</t>
  </si>
  <si>
    <t>S05</t>
  </si>
  <si>
    <t>HD002</t>
  </si>
  <si>
    <t>2025-10-02</t>
  </si>
  <si>
    <t>S02</t>
  </si>
  <si>
    <t>HD003</t>
  </si>
  <si>
    <t>2025-10-03</t>
  </si>
  <si>
    <t>T02</t>
  </si>
  <si>
    <t>HD004</t>
  </si>
  <si>
    <t>2025-10-04</t>
  </si>
  <si>
    <t>HD005</t>
  </si>
  <si>
    <t>2025-10-05</t>
  </si>
  <si>
    <t>S04</t>
  </si>
  <si>
    <t>HD006</t>
  </si>
  <si>
    <t>2025-10-06</t>
  </si>
  <si>
    <t>S01</t>
  </si>
  <si>
    <t>HD007</t>
  </si>
  <si>
    <t>2025-10-07</t>
  </si>
  <si>
    <t>T01</t>
  </si>
  <si>
    <t>HD008</t>
  </si>
  <si>
    <t>2025-10-08</t>
  </si>
  <si>
    <t>HD009</t>
  </si>
  <si>
    <t>2025-10-09</t>
  </si>
  <si>
    <t>HD010</t>
  </si>
  <si>
    <t>2025-10-10</t>
  </si>
  <si>
    <t>S03</t>
  </si>
  <si>
    <t>HD011</t>
  </si>
  <si>
    <t>2025-10-11</t>
  </si>
  <si>
    <t>HD012</t>
  </si>
  <si>
    <t>2025-10-12</t>
  </si>
  <si>
    <t>HD013</t>
  </si>
  <si>
    <t>2025-10-13</t>
  </si>
  <si>
    <t>HD014</t>
  </si>
  <si>
    <t>2025-10-14</t>
  </si>
  <si>
    <t>HD015</t>
  </si>
  <si>
    <t>2025-10-15</t>
  </si>
  <si>
    <t>Lap trinh Python co ban</t>
  </si>
  <si>
    <t>Tin hoc van phong</t>
  </si>
  <si>
    <t>Mang may tinh nhap mon</t>
  </si>
  <si>
    <t>Toan roi rac</t>
  </si>
  <si>
    <t>Tieng Anh cho IT</t>
  </si>
  <si>
    <t>Truyen ngan tuyen chon</t>
  </si>
  <si>
    <t>Tieu thuyet trinh tham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</si>
</sst>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2" sqref="G2"/>
    </sheetView>
  </sheetViews>
  <sheetFormatPr defaultColWidth="9" defaultRowHeight="14.4" outlineLevelCol="6"/>
  <cols>
    <col min="1" max="4" width="15" customWidth="1"/>
    <col min="5" max="5" width="21.8888888888889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VLOOKUP(C2,Sach!$A$1:$C$8,2,0)</f>
        <v>Tieng Anh cho IT</v>
      </c>
      <c r="F2">
        <f>VLOOKUP(C2,Sach!$A$1:$C$8,3,0)</f>
        <v>75000</v>
      </c>
      <c r="G2">
        <f>D2*F2</f>
        <v>300000</v>
      </c>
    </row>
    <row r="3" hidden="1" spans="1:7">
      <c r="A3" t="s">
        <v>10</v>
      </c>
      <c r="B3" t="s">
        <v>11</v>
      </c>
      <c r="C3" t="s">
        <v>12</v>
      </c>
      <c r="D3">
        <v>3</v>
      </c>
      <c r="E3" t="str">
        <f>VLOOKUP(C3,Sach!$A$1:$C$8,2,0)</f>
        <v>Tin hoc van phong</v>
      </c>
      <c r="F3">
        <f>VLOOKUP(C3,Sach!$A$1:$C$8,3,0)</f>
        <v>85000</v>
      </c>
      <c r="G3">
        <f t="shared" ref="G3:G16" si="0">D3*F3</f>
        <v>255000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VLOOKUP(C4,Sach!$A$1:$C$8,2,0)</f>
        <v>Tieu thuyet trinh tham</v>
      </c>
      <c r="F4">
        <f>VLOOKUP(C4,Sach!$A$1:$C$8,3,0)</f>
        <v>90000</v>
      </c>
      <c r="G4">
        <f t="shared" si="0"/>
        <v>180000</v>
      </c>
    </row>
    <row r="5" hidden="1" spans="1:7">
      <c r="A5" t="s">
        <v>16</v>
      </c>
      <c r="B5" t="s">
        <v>17</v>
      </c>
      <c r="C5" t="s">
        <v>9</v>
      </c>
      <c r="D5">
        <v>1</v>
      </c>
      <c r="E5" t="str">
        <f>VLOOKUP(C5,Sach!$A$1:$C$8,2,0)</f>
        <v>Tieng Anh cho IT</v>
      </c>
      <c r="F5">
        <f>VLOOKUP(C5,Sach!$A$1:$C$8,3,0)</f>
        <v>75000</v>
      </c>
      <c r="G5">
        <f t="shared" si="0"/>
        <v>75000</v>
      </c>
    </row>
    <row r="6" hidden="1" spans="1:7">
      <c r="A6" t="s">
        <v>18</v>
      </c>
      <c r="B6" t="s">
        <v>19</v>
      </c>
      <c r="C6" t="s">
        <v>20</v>
      </c>
      <c r="D6">
        <v>2</v>
      </c>
      <c r="E6" t="str">
        <f>VLOOKUP(C6,Sach!$A$1:$C$8,2,0)</f>
        <v>Toan roi rac</v>
      </c>
      <c r="F6">
        <f>VLOOKUP(C6,Sach!$A$1:$C$8,3,0)</f>
        <v>110000</v>
      </c>
      <c r="G6">
        <f t="shared" si="0"/>
        <v>220000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VLOOKUP(C7,Sach!$A$1:$C$8,2,0)</f>
        <v>Lap trinh Python co ban</v>
      </c>
      <c r="F7">
        <f>VLOOKUP(C7,Sach!$A$1:$C$8,3,0)</f>
        <v>120000</v>
      </c>
      <c r="G7">
        <f t="shared" si="0"/>
        <v>480000</v>
      </c>
    </row>
    <row r="8" hidden="1" spans="1:7">
      <c r="A8" t="s">
        <v>24</v>
      </c>
      <c r="B8" t="s">
        <v>25</v>
      </c>
      <c r="C8" t="s">
        <v>26</v>
      </c>
      <c r="D8">
        <v>2</v>
      </c>
      <c r="E8" t="str">
        <f>VLOOKUP(C8,Sach!$A$1:$C$8,2,0)</f>
        <v>Truyen ngan tuyen chon</v>
      </c>
      <c r="F8">
        <f>VLOOKUP(C8,Sach!$A$1:$C$8,3,0)</f>
        <v>60000</v>
      </c>
      <c r="G8">
        <f t="shared" si="0"/>
        <v>120000</v>
      </c>
    </row>
    <row r="9" spans="1:7">
      <c r="A9" t="s">
        <v>27</v>
      </c>
      <c r="B9" t="s">
        <v>28</v>
      </c>
      <c r="C9" t="s">
        <v>9</v>
      </c>
      <c r="D9">
        <v>5</v>
      </c>
      <c r="E9" t="str">
        <f>VLOOKUP(C9,Sach!$A$1:$C$8,2,0)</f>
        <v>Tieng Anh cho IT</v>
      </c>
      <c r="F9">
        <f>VLOOKUP(C9,Sach!$A$1:$C$8,3,0)</f>
        <v>75000</v>
      </c>
      <c r="G9">
        <f t="shared" si="0"/>
        <v>375000</v>
      </c>
    </row>
    <row r="10" hidden="1" spans="1:7">
      <c r="A10" t="s">
        <v>29</v>
      </c>
      <c r="B10" t="s">
        <v>30</v>
      </c>
      <c r="C10" t="s">
        <v>23</v>
      </c>
      <c r="D10">
        <v>1</v>
      </c>
      <c r="E10" t="str">
        <f>VLOOKUP(C10,Sach!$A$1:$C$8,2,0)</f>
        <v>Lap trinh Python co ban</v>
      </c>
      <c r="F10">
        <f>VLOOKUP(C10,Sach!$A$1:$C$8,3,0)</f>
        <v>120000</v>
      </c>
      <c r="G10">
        <f t="shared" si="0"/>
        <v>120000</v>
      </c>
    </row>
    <row r="11" hidden="1" spans="1:7">
      <c r="A11" t="s">
        <v>31</v>
      </c>
      <c r="B11" t="s">
        <v>32</v>
      </c>
      <c r="C11" t="s">
        <v>33</v>
      </c>
      <c r="D11">
        <v>1</v>
      </c>
      <c r="E11" t="str">
        <f>VLOOKUP(C11,Sach!$A$1:$C$8,2,0)</f>
        <v>Mang may tinh nhap mon</v>
      </c>
      <c r="F11">
        <f>VLOOKUP(C11,Sach!$A$1:$C$8,3,0)</f>
        <v>95000</v>
      </c>
      <c r="G11">
        <f t="shared" si="0"/>
        <v>95000</v>
      </c>
    </row>
    <row r="12" hidden="1" spans="1:7">
      <c r="A12" t="s">
        <v>34</v>
      </c>
      <c r="B12" t="s">
        <v>35</v>
      </c>
      <c r="C12" t="s">
        <v>26</v>
      </c>
      <c r="D12">
        <v>3</v>
      </c>
      <c r="E12" t="str">
        <f>VLOOKUP(C12,Sach!$A$1:$C$8,2,0)</f>
        <v>Truyen ngan tuyen chon</v>
      </c>
      <c r="F12">
        <f>VLOOKUP(C12,Sach!$A$1:$C$8,3,0)</f>
        <v>60000</v>
      </c>
      <c r="G12">
        <f t="shared" si="0"/>
        <v>180000</v>
      </c>
    </row>
    <row r="13" spans="1:7">
      <c r="A13" t="s">
        <v>36</v>
      </c>
      <c r="B13" t="s">
        <v>37</v>
      </c>
      <c r="C13" t="s">
        <v>23</v>
      </c>
      <c r="D13">
        <v>5</v>
      </c>
      <c r="E13" t="str">
        <f>VLOOKUP(C13,Sach!$A$1:$C$8,2,0)</f>
        <v>Lap trinh Python co ban</v>
      </c>
      <c r="F13">
        <f>VLOOKUP(C13,Sach!$A$1:$C$8,3,0)</f>
        <v>120000</v>
      </c>
      <c r="G13">
        <f t="shared" si="0"/>
        <v>600000</v>
      </c>
    </row>
    <row r="14" spans="1:7">
      <c r="A14" t="s">
        <v>38</v>
      </c>
      <c r="B14" t="s">
        <v>39</v>
      </c>
      <c r="C14" t="s">
        <v>9</v>
      </c>
      <c r="D14">
        <v>5</v>
      </c>
      <c r="E14" t="str">
        <f>VLOOKUP(C14,Sach!$A$1:$C$8,2,0)</f>
        <v>Tieng Anh cho IT</v>
      </c>
      <c r="F14">
        <f>VLOOKUP(C14,Sach!$A$1:$C$8,3,0)</f>
        <v>75000</v>
      </c>
      <c r="G14">
        <f t="shared" si="0"/>
        <v>375000</v>
      </c>
    </row>
    <row r="15" spans="1:7">
      <c r="A15" t="s">
        <v>40</v>
      </c>
      <c r="B15" t="s">
        <v>41</v>
      </c>
      <c r="C15" t="s">
        <v>12</v>
      </c>
      <c r="D15">
        <v>4</v>
      </c>
      <c r="E15" t="str">
        <f>VLOOKUP(C15,Sach!$A$1:$C$8,2,0)</f>
        <v>Tin hoc van phong</v>
      </c>
      <c r="F15">
        <f>VLOOKUP(C15,Sach!$A$1:$C$8,3,0)</f>
        <v>85000</v>
      </c>
      <c r="G15">
        <f t="shared" si="0"/>
        <v>340000</v>
      </c>
    </row>
    <row r="16" spans="1:7">
      <c r="A16" t="s">
        <v>42</v>
      </c>
      <c r="B16" t="s">
        <v>43</v>
      </c>
      <c r="C16" t="s">
        <v>12</v>
      </c>
      <c r="D16">
        <v>5</v>
      </c>
      <c r="E16" t="str">
        <f>VLOOKUP(C16,Sach!$A$1:$C$8,2,0)</f>
        <v>Tin hoc van phong</v>
      </c>
      <c r="F16">
        <f>VLOOKUP(C16,Sach!$A$1:$C$8,3,0)</f>
        <v>85000</v>
      </c>
      <c r="G16">
        <f t="shared" si="0"/>
        <v>425000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23</v>
      </c>
      <c r="B2" t="s">
        <v>44</v>
      </c>
      <c r="C2">
        <v>120000</v>
      </c>
    </row>
    <row r="3" spans="1:3">
      <c r="A3" t="s">
        <v>12</v>
      </c>
      <c r="B3" t="s">
        <v>45</v>
      </c>
      <c r="C3">
        <v>85000</v>
      </c>
    </row>
    <row r="4" spans="1:3">
      <c r="A4" t="s">
        <v>33</v>
      </c>
      <c r="B4" t="s">
        <v>46</v>
      </c>
      <c r="C4">
        <v>95000</v>
      </c>
    </row>
    <row r="5" spans="1:3">
      <c r="A5" t="s">
        <v>20</v>
      </c>
      <c r="B5" t="s">
        <v>47</v>
      </c>
      <c r="C5">
        <v>110000</v>
      </c>
    </row>
    <row r="6" spans="1:3">
      <c r="A6" t="s">
        <v>9</v>
      </c>
      <c r="B6" t="s">
        <v>48</v>
      </c>
      <c r="C6">
        <v>75000</v>
      </c>
    </row>
    <row r="7" spans="1:3">
      <c r="A7" t="s">
        <v>26</v>
      </c>
      <c r="B7" t="s">
        <v>49</v>
      </c>
      <c r="C7">
        <v>60000</v>
      </c>
    </row>
    <row r="8" spans="1:3">
      <c r="A8" t="s">
        <v>15</v>
      </c>
      <c r="B8" t="s">
        <v>50</v>
      </c>
      <c r="C8">
        <v>90000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HoaDon</vt:lpstr>
      <vt:lpstr>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Lion</cp:lastModifiedBy>
  <dcterms:created xsi:type="dcterms:W3CDTF">2026-10-12T01:38:00Z</dcterms:created>
  <dcterms:modified xsi:type="dcterms:W3CDTF">2026-10-15T01:57:46Z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4EAB1D848ED3417BA77F28906299C028_12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